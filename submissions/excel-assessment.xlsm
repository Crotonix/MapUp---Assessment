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Up\MapUp-Data-Assessment-F\submissions\"/>
    </mc:Choice>
  </mc:AlternateContent>
  <xr:revisionPtr revIDLastSave="0" documentId="13_ncr:1_{437806D1-4F1E-4FD5-8486-EDBD42FCFBDB}" xr6:coauthVersionLast="47" xr6:coauthVersionMax="47" xr10:uidLastSave="{00000000-0000-0000-0000-000000000000}"/>
  <bookViews>
    <workbookView xWindow="-20610" yWindow="1830" windowWidth="20730" windowHeight="11040" tabRatio="575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F9" i="18"/>
  <c r="C22" i="19"/>
  <c r="C6" i="18"/>
  <c r="D6" i="18"/>
  <c r="E6" i="18"/>
  <c r="F6" i="18"/>
  <c r="C7" i="18"/>
  <c r="D7" i="18"/>
  <c r="E7" i="18"/>
  <c r="F7" i="18"/>
  <c r="C8" i="18"/>
  <c r="D8" i="18"/>
  <c r="E8" i="18"/>
  <c r="F8" i="18"/>
  <c r="C9" i="18"/>
  <c r="D9" i="18"/>
  <c r="E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C29" i="18" s="1"/>
  <c r="D26" i="18"/>
  <c r="E26" i="18"/>
  <c r="F26" i="18"/>
  <c r="C27" i="18"/>
  <c r="D27" i="18"/>
  <c r="E27" i="18"/>
  <c r="F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12" i="19"/>
  <c r="D13" i="19"/>
  <c r="D14" i="19"/>
  <c r="D15" i="19"/>
  <c r="D16" i="19"/>
  <c r="D17" i="19"/>
  <c r="D18" i="19"/>
  <c r="D19" i="19"/>
  <c r="D20" i="19"/>
  <c r="D21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B16" i="16"/>
  <c r="C16" i="16"/>
  <c r="D5" i="15"/>
  <c r="B28" i="18" l="1"/>
  <c r="B29" i="18"/>
  <c r="D29" i="18"/>
  <c r="D28" i="18"/>
  <c r="D30" i="18"/>
  <c r="C30" i="18"/>
  <c r="C28" i="18"/>
  <c r="B30" i="18"/>
  <c r="E29" i="18" l="1"/>
  <c r="E28" i="18"/>
  <c r="E30" i="18"/>
  <c r="F30" i="18" l="1"/>
  <c r="F28" i="18"/>
  <c r="F29" i="18"/>
</calcChain>
</file>

<file path=xl/sharedStrings.xml><?xml version="1.0" encoding="utf-8"?>
<sst xmlns="http://schemas.openxmlformats.org/spreadsheetml/2006/main" count="333" uniqueCount="186">
  <si>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</si>
  <si>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</si>
  <si>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</si>
  <si>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</si>
  <si>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</si>
  <si>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</si>
  <si>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</si>
  <si>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</si>
  <si>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</si>
  <si>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</si>
  <si>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</si>
  <si>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</si>
  <si>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</si>
  <si>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</si>
  <si>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</si>
  <si>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</si>
  <si>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</si>
  <si>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</si>
  <si>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</si>
  <si>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</si>
  <si>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</si>
  <si>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</si>
  <si>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</si>
  <si>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</si>
  <si>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</si>
  <si>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</si>
  <si>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</si>
  <si>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</si>
  <si>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</si>
  <si>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</si>
  <si>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</si>
  <si>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</si>
  <si>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</si>
  <si>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</si>
  <si>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</si>
  <si>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</si>
  <si>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</si>
  <si>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</si>
  <si>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</si>
  <si>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</si>
  <si>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</si>
  <si>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</si>
  <si>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</si>
  <si>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</si>
  <si>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</si>
  <si>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</si>
  <si>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</si>
  <si>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</si>
  <si>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</si>
  <si>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</si>
  <si>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</si>
  <si>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</si>
  <si>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</si>
  <si>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</si>
  <si>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</si>
  <si>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</si>
  <si>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</si>
  <si>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</si>
  <si>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</si>
  <si>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</si>
  <si>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</si>
  <si>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</si>
  <si>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</si>
  <si>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</si>
  <si>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</si>
  <si>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</si>
  <si>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</si>
  <si>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</si>
  <si>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</si>
  <si>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</si>
  <si>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</si>
  <si>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</si>
  <si>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</si>
  <si>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</si>
  <si>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</si>
  <si>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</si>
  <si>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</si>
  <si>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</si>
  <si>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</si>
  <si>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</si>
  <si>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</si>
  <si>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</si>
  <si>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</si>
  <si>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</si>
  <si>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</si>
  <si>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</si>
  <si>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</si>
  <si>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</si>
  <si>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</si>
  <si>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</si>
  <si>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</si>
  <si>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</si>
  <si>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</si>
  <si>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</si>
  <si>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</si>
  <si>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</si>
  <si>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</si>
  <si>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</si>
  <si>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</si>
  <si>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</si>
  <si>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</si>
  <si>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</si>
  <si>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</si>
  <si>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</si>
  <si>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</si>
  <si>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</si>
  <si>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</si>
  <si>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</si>
  <si>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</si>
  <si>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</si>
  <si>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</si>
  <si>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</si>
  <si>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</si>
  <si>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</si>
  <si>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</si>
  <si>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</si>
  <si>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</si>
  <si>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</si>
  <si>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</si>
  <si>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</si>
  <si>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</si>
  <si>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</si>
  <si>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</si>
  <si>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</si>
  <si>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</si>
  <si>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</si>
  <si>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</si>
  <si>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</si>
  <si>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</si>
  <si>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</si>
  <si>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</si>
  <si>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</si>
  <si>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</si>
  <si>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</si>
  <si>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</si>
  <si>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</si>
  <si>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</si>
  <si>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</si>
  <si>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</si>
  <si>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</si>
  <si>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</si>
  <si>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</si>
  <si>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</si>
  <si>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</si>
  <si>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</si>
  <si>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</si>
  <si>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</si>
  <si>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</si>
  <si>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</si>
  <si>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</si>
  <si>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</si>
  <si>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</si>
  <si>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</si>
  <si>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</si>
  <si>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</si>
  <si>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</si>
  <si>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</si>
  <si>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</si>
  <si>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</si>
  <si>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</si>
  <si>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</si>
  <si>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</si>
  <si>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</si>
  <si>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</si>
  <si>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</si>
  <si>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</si>
  <si>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</si>
  <si>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</si>
  <si>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</si>
  <si>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</si>
  <si>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</si>
  <si>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</si>
  <si>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</si>
  <si>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</si>
  <si>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</si>
  <si>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</si>
  <si>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</si>
  <si>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</si>
  <si>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</si>
  <si>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MID</t>
  </si>
  <si>
    <t>As the text in the values column are fixed length we can use mid function specifying the text we want to extract given the starting index and length of text</t>
  </si>
  <si>
    <t>In new versions of excel we can use TEXTSPLIT which is more modular</t>
  </si>
  <si>
    <t>IFERROR, SUM</t>
  </si>
  <si>
    <t>First we replace #N/A value with 20 in a separate column using IFERROR function and then calculate the sum of sales using SUM function.</t>
  </si>
  <si>
    <t>VLOOKUP, MATCH, INDEX</t>
  </si>
  <si>
    <t>First using VLOOKUP function we will get the Name for the corresponding ID from Table_B for both name_1 and name_2 of Table_C. Next, we will use MATCH function to get the matching row number and column number from Table_A using fetched Names. Finally, using INDEX function we can fetch the corresponding value from Table_A.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</si>
</sst>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0" borderId="8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G38" sqref="G38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G1:W1048576">
    <cfRule type="cellIs" dxfId="1" priority="3" operator="equal">
      <formula>-1</formula>
    </cfRule>
    <cfRule type="containsBlanks" priority="1" stopIfTrue="1">
      <formula>LEN(TRIM(G1))=0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6" sqref="D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7.4414062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D3" s="1" t="s">
        <v>178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178</v>
      </c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D5" s="1">
        <f>SUMIF(Dataset!H:H, "&gt;20")</f>
        <v>1473.0000000000002</v>
      </c>
      <c r="E5" s="1">
        <v>10</v>
      </c>
    </row>
    <row r="6" spans="1:5" x14ac:dyDescent="0.3">
      <c r="A6" s="6">
        <v>4</v>
      </c>
      <c r="B6" s="2" t="s">
        <v>107</v>
      </c>
      <c r="C6" s="2"/>
      <c r="D6" s="1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H10" sqref="H1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165</v>
      </c>
    </row>
    <row r="2" spans="1:7" s="40" customFormat="1" ht="21" x14ac:dyDescent="0.4">
      <c r="B2" s="40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VLOOKUP($A6, Dataset!$1:$1048576, MATCH(Task_2!B$5, Dataset!$1:$1, 0),FALSE )</f>
        <v>2.7</v>
      </c>
      <c r="C6" s="11">
        <f>VLOOKUP($A6, Dataset!$1:$1048576, MATCH(Task_2!C$5, Dataset!$1:$1, 0),FALSE )</f>
        <v>7.6</v>
      </c>
      <c r="D6" s="11">
        <f>VLOOKUP($A6, Dataset!$1:$1048576, MATCH(Task_2!D$5, Dataset!$1:$1, 0),FALSE )</f>
        <v>4.2</v>
      </c>
      <c r="E6" s="11">
        <f>VLOOKUP($A6, Dataset!$1:$1048576, MATCH(Task_2!E$5, Dataset!$1:$1, 0),FALSE )</f>
        <v>8.9</v>
      </c>
      <c r="F6" s="11">
        <f>VLOOKUP($A6, Dataset!$1:$1048576, MATCH(Task_2!F$5, Dataset!$1:$1, 0),FALSE )</f>
        <v>4.2</v>
      </c>
    </row>
    <row r="7" spans="1:7" ht="14.4" x14ac:dyDescent="0.3">
      <c r="A7" s="7" t="s">
        <v>4</v>
      </c>
      <c r="B7" s="11">
        <f>VLOOKUP($A7, Dataset!$1:$1048576, MATCH(Task_2!B$5, Dataset!$1:$1, 0),FALSE )</f>
        <v>2.7</v>
      </c>
      <c r="C7" s="11">
        <f>VLOOKUP($A7, Dataset!$1:$1048576, MATCH(Task_2!C$5, Dataset!$1:$1, 0),FALSE )</f>
        <v>7.6</v>
      </c>
      <c r="D7" s="11">
        <f>VLOOKUP($A7, Dataset!$1:$1048576, MATCH(Task_2!D$5, Dataset!$1:$1, 0),FALSE )</f>
        <v>4.2</v>
      </c>
      <c r="E7" s="11">
        <f>VLOOKUP($A7, Dataset!$1:$1048576, MATCH(Task_2!E$5, Dataset!$1:$1, 0),FALSE )</f>
        <v>8.9</v>
      </c>
      <c r="F7" s="11">
        <f>VLOOKUP($A7, Dataset!$1:$1048576, MATCH(Task_2!F$5, Dataset!$1:$1, 0),FALSE )</f>
        <v>4.2</v>
      </c>
    </row>
    <row r="8" spans="1:7" ht="14.4" x14ac:dyDescent="0.3">
      <c r="A8" s="7" t="s">
        <v>7</v>
      </c>
      <c r="B8" s="11">
        <f>VLOOKUP($A8, Dataset!$1:$1048576, MATCH(Task_2!B$5, Dataset!$1:$1, 0),FALSE )</f>
        <v>3.6</v>
      </c>
      <c r="C8" s="11">
        <f>VLOOKUP($A8, Dataset!$1:$1048576, MATCH(Task_2!C$5, Dataset!$1:$1, 0),FALSE )</f>
        <v>11.1</v>
      </c>
      <c r="D8" s="11">
        <f>VLOOKUP($A8, Dataset!$1:$1048576, MATCH(Task_2!D$5, Dataset!$1:$1, 0),FALSE )</f>
        <v>5.8</v>
      </c>
      <c r="E8" s="11">
        <f>VLOOKUP($A8, Dataset!$1:$1048576, MATCH(Task_2!E$5, Dataset!$1:$1, 0),FALSE )</f>
        <v>12.2</v>
      </c>
      <c r="F8" s="11">
        <f>VLOOKUP($A8, Dataset!$1:$1048576, MATCH(Task_2!F$5, Dataset!$1:$1, 0),FALSE )</f>
        <v>5.8</v>
      </c>
    </row>
    <row r="9" spans="1:7" ht="14.4" x14ac:dyDescent="0.3">
      <c r="A9" s="7" t="s">
        <v>8</v>
      </c>
      <c r="B9" s="11">
        <f>VLOOKUP($A9, Dataset!$1:$1048576, MATCH(Task_2!B$5, Dataset!$1:$1, 0),FALSE )</f>
        <v>4.9000000000000004</v>
      </c>
      <c r="C9" s="11">
        <f>VLOOKUP($A9, Dataset!$1:$1048576, MATCH(Task_2!C$5, Dataset!$1:$1, 0),FALSE )</f>
        <v>13.3</v>
      </c>
      <c r="D9" s="11">
        <f>VLOOKUP($A9, Dataset!$1:$1048576, MATCH(Task_2!D$5, Dataset!$1:$1, 0),FALSE )</f>
        <v>8.1</v>
      </c>
      <c r="E9" s="11">
        <f>VLOOKUP($A9, Dataset!$1:$1048576, MATCH(Task_2!E$5, Dataset!$1:$1, 0),FALSE )</f>
        <v>17</v>
      </c>
      <c r="F9" s="11">
        <f>VLOOKUP($A9, Dataset!$1:$1048576, MATCH(Task_2!F$5, Dataset!$1:$1, 0),FALSE )</f>
        <v>8.1</v>
      </c>
    </row>
    <row r="10" spans="1:7" ht="14.4" x14ac:dyDescent="0.3">
      <c r="A10" s="7" t="s">
        <v>11</v>
      </c>
      <c r="B10" s="11">
        <f>VLOOKUP($A10, Dataset!$1:$1048576, MATCH(Task_2!B$5, Dataset!$1:$1, 0),FALSE )</f>
        <v>9.4</v>
      </c>
      <c r="C10" s="11">
        <f>VLOOKUP($A10, Dataset!$1:$1048576, MATCH(Task_2!C$5, Dataset!$1:$1, 0),FALSE )</f>
        <v>28.3</v>
      </c>
      <c r="D10" s="11">
        <f>VLOOKUP($A10, Dataset!$1:$1048576, MATCH(Task_2!D$5, Dataset!$1:$1, 0),FALSE )</f>
        <v>16.100000000000001</v>
      </c>
      <c r="E10" s="11">
        <f>VLOOKUP($A10, Dataset!$1:$1048576, MATCH(Task_2!E$5, Dataset!$1:$1, 0),FALSE )</f>
        <v>32.799999999999997</v>
      </c>
      <c r="F10" s="11">
        <f>VLOOKUP($A10, Dataset!$1:$1048576, MATCH(Task_2!F$5, Dataset!$1:$1, 0),FALSE )</f>
        <v>16.100000000000001</v>
      </c>
    </row>
    <row r="11" spans="1:7" ht="14.4" x14ac:dyDescent="0.3">
      <c r="A11" s="7" t="s">
        <v>12</v>
      </c>
      <c r="B11" s="11">
        <f>VLOOKUP($A11, Dataset!$1:$1048576, MATCH(Task_2!B$5, Dataset!$1:$1, 0),FALSE )</f>
        <v>11.6</v>
      </c>
      <c r="C11" s="11">
        <f>VLOOKUP($A11, Dataset!$1:$1048576, MATCH(Task_2!C$5, Dataset!$1:$1, 0),FALSE )</f>
        <v>35.200000000000003</v>
      </c>
      <c r="D11" s="11">
        <f>VLOOKUP($A11, Dataset!$1:$1048576, MATCH(Task_2!D$5, Dataset!$1:$1, 0),FALSE )</f>
        <v>21.3</v>
      </c>
      <c r="E11" s="11">
        <f>VLOOKUP($A11, Dataset!$1:$1048576, MATCH(Task_2!E$5, Dataset!$1:$1, 0),FALSE )</f>
        <v>43</v>
      </c>
      <c r="F11" s="11">
        <f>VLOOKUP($A11, Dataset!$1:$1048576, MATCH(Task_2!F$5, Dataset!$1:$1, 0),FALSE )</f>
        <v>21.3</v>
      </c>
    </row>
    <row r="12" spans="1:7" ht="14.4" x14ac:dyDescent="0.3">
      <c r="A12" s="7" t="s">
        <v>14</v>
      </c>
      <c r="B12" s="11">
        <f>VLOOKUP($A12, Dataset!$1:$1048576, MATCH(Task_2!B$5, Dataset!$1:$1, 0),FALSE )</f>
        <v>18.399999999999999</v>
      </c>
      <c r="C12" s="11">
        <f>VLOOKUP($A12, Dataset!$1:$1048576, MATCH(Task_2!C$5, Dataset!$1:$1, 0),FALSE )</f>
        <v>55.6</v>
      </c>
      <c r="D12" s="11">
        <f>VLOOKUP($A12, Dataset!$1:$1048576, MATCH(Task_2!D$5, Dataset!$1:$1, 0),FALSE )</f>
        <v>33.799999999999997</v>
      </c>
      <c r="E12" s="11">
        <f>VLOOKUP($A12, Dataset!$1:$1048576, MATCH(Task_2!E$5, Dataset!$1:$1, 0),FALSE )</f>
        <v>67.900000000000006</v>
      </c>
      <c r="F12" s="11">
        <f>VLOOKUP($A12, Dataset!$1:$1048576, MATCH(Task_2!F$5, Dataset!$1:$1, 0),FALSE )</f>
        <v>33.799999999999997</v>
      </c>
    </row>
    <row r="13" spans="1:7" ht="14.4" x14ac:dyDescent="0.3">
      <c r="A13" s="7" t="s">
        <v>15</v>
      </c>
      <c r="B13" s="11">
        <f>VLOOKUP($A13, Dataset!$1:$1048576, MATCH(Task_2!B$5, Dataset!$1:$1, 0),FALSE )</f>
        <v>0</v>
      </c>
      <c r="C13" s="11">
        <f>VLOOKUP($A13, Dataset!$1:$1048576, MATCH(Task_2!C$5, Dataset!$1:$1, 0),FALSE )</f>
        <v>0</v>
      </c>
      <c r="D13" s="11">
        <f>VLOOKUP($A13, Dataset!$1:$1048576, MATCH(Task_2!D$5, Dataset!$1:$1, 0),FALSE )</f>
        <v>0</v>
      </c>
      <c r="E13" s="11">
        <f>VLOOKUP($A13, Dataset!$1:$1048576, MATCH(Task_2!E$5, Dataset!$1:$1, 0),FALSE )</f>
        <v>0</v>
      </c>
      <c r="F13" s="11">
        <f>VLOOKUP($A13, Dataset!$1:$1048576, MATCH(Task_2!F$5, Dataset!$1:$1, 0),FALSE )</f>
        <v>0</v>
      </c>
    </row>
    <row r="14" spans="1:7" ht="14.4" x14ac:dyDescent="0.3">
      <c r="A14" s="7" t="s">
        <v>16</v>
      </c>
      <c r="B14" s="11">
        <f>VLOOKUP($A14, Dataset!$1:$1048576, MATCH(Task_2!B$5, Dataset!$1:$1, 0),FALSE )</f>
        <v>21.9</v>
      </c>
      <c r="C14" s="11">
        <f>VLOOKUP($A14, Dataset!$1:$1048576, MATCH(Task_2!C$5, Dataset!$1:$1, 0),FALSE )</f>
        <v>61.5</v>
      </c>
      <c r="D14" s="11">
        <f>VLOOKUP($A14, Dataset!$1:$1048576, MATCH(Task_2!D$5, Dataset!$1:$1, 0),FALSE )</f>
        <v>40.1</v>
      </c>
      <c r="E14" s="11">
        <f>VLOOKUP($A14, Dataset!$1:$1048576, MATCH(Task_2!E$5, Dataset!$1:$1, 0),FALSE )</f>
        <v>76.599999999999994</v>
      </c>
      <c r="F14" s="11">
        <f>VLOOKUP($A14, Dataset!$1:$1048576, MATCH(Task_2!F$5, Dataset!$1:$1, 0),FALSE )</f>
        <v>40.1</v>
      </c>
    </row>
    <row r="15" spans="1:7" ht="14.4" x14ac:dyDescent="0.3">
      <c r="A15" s="7" t="s">
        <v>18</v>
      </c>
      <c r="B15" s="11">
        <f>VLOOKUP($A15, Dataset!$1:$1048576, MATCH(Task_2!B$5, Dataset!$1:$1, 0),FALSE )</f>
        <v>26.8</v>
      </c>
      <c r="C15" s="11">
        <f>VLOOKUP($A15, Dataset!$1:$1048576, MATCH(Task_2!C$5, Dataset!$1:$1, 0),FALSE )</f>
        <v>79.599999999999994</v>
      </c>
      <c r="D15" s="11">
        <f>VLOOKUP($A15, Dataset!$1:$1048576, MATCH(Task_2!D$5, Dataset!$1:$1, 0),FALSE )</f>
        <v>47.9</v>
      </c>
      <c r="E15" s="11">
        <f>VLOOKUP($A15, Dataset!$1:$1048576, MATCH(Task_2!E$5, Dataset!$1:$1, 0),FALSE )</f>
        <v>96.8</v>
      </c>
      <c r="F15" s="11">
        <f>VLOOKUP($A15, Dataset!$1:$1048576, MATCH(Task_2!F$5, Dataset!$1:$1, 0),FALSE )</f>
        <v>47.9</v>
      </c>
    </row>
    <row r="16" spans="1:7" ht="14.4" x14ac:dyDescent="0.3">
      <c r="A16" s="7" t="s">
        <v>20</v>
      </c>
      <c r="B16" s="11">
        <f>VLOOKUP($A16, Dataset!$1:$1048576, MATCH(Task_2!B$5, Dataset!$1:$1, 0),FALSE )</f>
        <v>28.5</v>
      </c>
      <c r="C16" s="11">
        <f>VLOOKUP($A16, Dataset!$1:$1048576, MATCH(Task_2!C$5, Dataset!$1:$1, 0),FALSE )</f>
        <v>85.4</v>
      </c>
      <c r="D16" s="11">
        <f>VLOOKUP($A16, Dataset!$1:$1048576, MATCH(Task_2!D$5, Dataset!$1:$1, 0),FALSE )</f>
        <v>52.3</v>
      </c>
      <c r="E16" s="11">
        <f>VLOOKUP($A16, Dataset!$1:$1048576, MATCH(Task_2!E$5, Dataset!$1:$1, 0),FALSE )</f>
        <v>106.1</v>
      </c>
      <c r="F16" s="11">
        <f>VLOOKUP($A16, Dataset!$1:$1048576, MATCH(Task_2!F$5, Dataset!$1:$1, 0),FALSE )</f>
        <v>52.3</v>
      </c>
    </row>
    <row r="17" spans="1:6" ht="14.4" x14ac:dyDescent="0.3">
      <c r="A17" s="7" t="s">
        <v>22</v>
      </c>
      <c r="B17" s="11">
        <f>VLOOKUP($A17, Dataset!$1:$1048576, MATCH(Task_2!B$5, Dataset!$1:$1, 0),FALSE )</f>
        <v>30.7</v>
      </c>
      <c r="C17" s="11">
        <f>VLOOKUP($A17, Dataset!$1:$1048576, MATCH(Task_2!C$5, Dataset!$1:$1, 0),FALSE )</f>
        <v>92.1</v>
      </c>
      <c r="D17" s="11">
        <f>VLOOKUP($A17, Dataset!$1:$1048576, MATCH(Task_2!D$5, Dataset!$1:$1, 0),FALSE )</f>
        <v>57</v>
      </c>
      <c r="E17" s="11">
        <f>VLOOKUP($A17, Dataset!$1:$1048576, MATCH(Task_2!E$5, Dataset!$1:$1, 0),FALSE )</f>
        <v>115.1</v>
      </c>
      <c r="F17" s="11">
        <f>VLOOKUP($A17, Dataset!$1:$1048576, MATCH(Task_2!F$5, Dataset!$1:$1, 0),FALSE )</f>
        <v>57</v>
      </c>
    </row>
    <row r="18" spans="1:6" ht="14.4" x14ac:dyDescent="0.3">
      <c r="A18" s="7" t="s">
        <v>23</v>
      </c>
      <c r="B18" s="11">
        <f>VLOOKUP($A18, Dataset!$1:$1048576, MATCH(Task_2!B$5, Dataset!$1:$1, 0),FALSE )</f>
        <v>33.799999999999997</v>
      </c>
      <c r="C18" s="11">
        <f>VLOOKUP($A18, Dataset!$1:$1048576, MATCH(Task_2!C$5, Dataset!$1:$1, 0),FALSE )</f>
        <v>101.3</v>
      </c>
      <c r="D18" s="11">
        <f>VLOOKUP($A18, Dataset!$1:$1048576, MATCH(Task_2!D$5, Dataset!$1:$1, 0),FALSE )</f>
        <v>61.4</v>
      </c>
      <c r="E18" s="11">
        <f>VLOOKUP($A18, Dataset!$1:$1048576, MATCH(Task_2!E$5, Dataset!$1:$1, 0),FALSE )</f>
        <v>124.4</v>
      </c>
      <c r="F18" s="11">
        <f>VLOOKUP($A18, Dataset!$1:$1048576, MATCH(Task_2!F$5, Dataset!$1:$1, 0),FALSE )</f>
        <v>61.4</v>
      </c>
    </row>
    <row r="19" spans="1:6" ht="14.4" x14ac:dyDescent="0.3">
      <c r="A19" s="7" t="s">
        <v>24</v>
      </c>
      <c r="B19" s="11">
        <f>VLOOKUP($A19, Dataset!$1:$1048576, MATCH(Task_2!B$5, Dataset!$1:$1, 0),FALSE )</f>
        <v>34.700000000000003</v>
      </c>
      <c r="C19" s="11">
        <f>VLOOKUP($A19, Dataset!$1:$1048576, MATCH(Task_2!C$5, Dataset!$1:$1, 0),FALSE )</f>
        <v>106.1</v>
      </c>
      <c r="D19" s="11">
        <f>VLOOKUP($A19, Dataset!$1:$1048576, MATCH(Task_2!D$5, Dataset!$1:$1, 0),FALSE )</f>
        <v>63.6</v>
      </c>
      <c r="E19" s="11">
        <f>VLOOKUP($A19, Dataset!$1:$1048576, MATCH(Task_2!E$5, Dataset!$1:$1, 0),FALSE )</f>
        <v>128.6</v>
      </c>
      <c r="F19" s="11">
        <f>VLOOKUP($A19, Dataset!$1:$1048576, MATCH(Task_2!F$5, Dataset!$1:$1, 0),FALSE )</f>
        <v>63.6</v>
      </c>
    </row>
    <row r="20" spans="1:6" ht="14.4" x14ac:dyDescent="0.3">
      <c r="A20" s="7" t="s">
        <v>28</v>
      </c>
      <c r="B20" s="11">
        <f>VLOOKUP($A20, Dataset!$1:$1048576, MATCH(Task_2!B$5, Dataset!$1:$1, 0),FALSE )</f>
        <v>0</v>
      </c>
      <c r="C20" s="11">
        <f>VLOOKUP($A20, Dataset!$1:$1048576, MATCH(Task_2!C$5, Dataset!$1:$1, 0),FALSE )</f>
        <v>0</v>
      </c>
      <c r="D20" s="11">
        <f>VLOOKUP($A20, Dataset!$1:$1048576, MATCH(Task_2!D$5, Dataset!$1:$1, 0),FALSE )</f>
        <v>0</v>
      </c>
      <c r="E20" s="11">
        <f>VLOOKUP($A20, Dataset!$1:$1048576, MATCH(Task_2!E$5, Dataset!$1:$1, 0),FALSE )</f>
        <v>0</v>
      </c>
      <c r="F20" s="11">
        <f>VLOOKUP($A20, Dataset!$1:$1048576, MATCH(Task_2!F$5, Dataset!$1:$1, 0),FALSE )</f>
        <v>0</v>
      </c>
    </row>
    <row r="21" spans="1:6" ht="14.4" x14ac:dyDescent="0.3">
      <c r="A21" s="7" t="s">
        <v>57</v>
      </c>
      <c r="B21" s="11">
        <f>VLOOKUP($A21, Dataset!$1:$1048576, MATCH(Task_2!B$5, Dataset!$1:$1, 0),FALSE )</f>
        <v>41.3</v>
      </c>
      <c r="C21" s="11">
        <f>VLOOKUP($A21, Dataset!$1:$1048576, MATCH(Task_2!C$5, Dataset!$1:$1, 0),FALSE )</f>
        <v>124.4</v>
      </c>
      <c r="D21" s="11">
        <f>VLOOKUP($A21, Dataset!$1:$1048576, MATCH(Task_2!D$5, Dataset!$1:$1, 0),FALSE )</f>
        <v>75</v>
      </c>
      <c r="E21" s="11">
        <f>VLOOKUP($A21, Dataset!$1:$1048576, MATCH(Task_2!E$5, Dataset!$1:$1, 0),FALSE )</f>
        <v>151.5</v>
      </c>
      <c r="F21" s="11">
        <f>VLOOKUP($A21, Dataset!$1:$1048576, MATCH(Task_2!F$5, Dataset!$1:$1, 0),FALSE )</f>
        <v>75</v>
      </c>
    </row>
    <row r="22" spans="1:6" ht="14.4" x14ac:dyDescent="0.3">
      <c r="A22" s="7" t="s">
        <v>58</v>
      </c>
      <c r="B22" s="11">
        <f>VLOOKUP($A22, Dataset!$1:$1048576, MATCH(Task_2!B$5, Dataset!$1:$1, 0),FALSE )</f>
        <v>-1</v>
      </c>
      <c r="C22" s="11">
        <f>VLOOKUP($A22, Dataset!$1:$1048576, MATCH(Task_2!C$5, Dataset!$1:$1, 0),FALSE )</f>
        <v>-1</v>
      </c>
      <c r="D22" s="11">
        <f>VLOOKUP($A22, Dataset!$1:$1048576, MATCH(Task_2!D$5, Dataset!$1:$1, 0),FALSE )</f>
        <v>-1</v>
      </c>
      <c r="E22" s="11">
        <f>VLOOKUP($A22, Dataset!$1:$1048576, MATCH(Task_2!E$5, Dataset!$1:$1, 0),FALSE )</f>
        <v>-1</v>
      </c>
      <c r="F22" s="11">
        <f>VLOOKUP($A22, Dataset!$1:$1048576, MATCH(Task_2!F$5, Dataset!$1:$1, 0),FALSE )</f>
        <v>-1</v>
      </c>
    </row>
    <row r="23" spans="1:6" ht="14.4" x14ac:dyDescent="0.3">
      <c r="A23" s="7" t="s">
        <v>31</v>
      </c>
      <c r="B23" s="11">
        <f>VLOOKUP($A23, Dataset!$1:$1048576, MATCH(Task_2!B$5, Dataset!$1:$1, 0),FALSE )</f>
        <v>45</v>
      </c>
      <c r="C23" s="11">
        <f>VLOOKUP($A23, Dataset!$1:$1048576, MATCH(Task_2!C$5, Dataset!$1:$1, 0),FALSE )</f>
        <v>133.4</v>
      </c>
      <c r="D23" s="11">
        <f>VLOOKUP($A23, Dataset!$1:$1048576, MATCH(Task_2!D$5, Dataset!$1:$1, 0),FALSE )</f>
        <v>79.400000000000006</v>
      </c>
      <c r="E23" s="11">
        <f>VLOOKUP($A23, Dataset!$1:$1048576, MATCH(Task_2!E$5, Dataset!$1:$1, 0),FALSE )</f>
        <v>160.9</v>
      </c>
      <c r="F23" s="11">
        <f>VLOOKUP($A23, Dataset!$1:$1048576, MATCH(Task_2!F$5, Dataset!$1:$1, 0),FALSE )</f>
        <v>79.400000000000006</v>
      </c>
    </row>
    <row r="24" spans="1:6" ht="14.4" x14ac:dyDescent="0.3">
      <c r="A24" s="7" t="s">
        <v>32</v>
      </c>
      <c r="B24" s="11">
        <f>VLOOKUP($A24, Dataset!$1:$1048576, MATCH(Task_2!B$5, Dataset!$1:$1, 0),FALSE )</f>
        <v>-1</v>
      </c>
      <c r="C24" s="11">
        <f>VLOOKUP($A24, Dataset!$1:$1048576, MATCH(Task_2!C$5, Dataset!$1:$1, 0),FALSE )</f>
        <v>-1</v>
      </c>
      <c r="D24" s="11">
        <f>VLOOKUP($A24, Dataset!$1:$1048576, MATCH(Task_2!D$5, Dataset!$1:$1, 0),FALSE )</f>
        <v>-1</v>
      </c>
      <c r="E24" s="11">
        <f>VLOOKUP($A24, Dataset!$1:$1048576, MATCH(Task_2!E$5, Dataset!$1:$1, 0),FALSE )</f>
        <v>-1</v>
      </c>
      <c r="F24" s="11">
        <f>VLOOKUP($A24, Dataset!$1:$1048576, MATCH(Task_2!F$5, Dataset!$1:$1, 0),FALSE )</f>
        <v>-1</v>
      </c>
    </row>
    <row r="25" spans="1:6" ht="14.4" x14ac:dyDescent="0.3">
      <c r="A25" s="7" t="s">
        <v>34</v>
      </c>
      <c r="B25" s="11">
        <f>VLOOKUP($A25, Dataset!$1:$1048576, MATCH(Task_2!B$5, Dataset!$1:$1, 0),FALSE )</f>
        <v>43.3</v>
      </c>
      <c r="C25" s="11">
        <f>VLOOKUP($A25, Dataset!$1:$1048576, MATCH(Task_2!C$5, Dataset!$1:$1, 0),FALSE )</f>
        <v>128.6</v>
      </c>
      <c r="D25" s="11">
        <f>VLOOKUP($A25, Dataset!$1:$1048576, MATCH(Task_2!D$5, Dataset!$1:$1, 0),FALSE )</f>
        <v>79.400000000000006</v>
      </c>
      <c r="E25" s="11">
        <f>VLOOKUP($A25, Dataset!$1:$1048576, MATCH(Task_2!E$5, Dataset!$1:$1, 0),FALSE )</f>
        <v>160.9</v>
      </c>
      <c r="F25" s="11">
        <f>VLOOKUP($A25, Dataset!$1:$1048576, MATCH(Task_2!F$5, Dataset!$1:$1, 0),FALSE )</f>
        <v>79.400000000000006</v>
      </c>
    </row>
    <row r="26" spans="1:6" ht="14.4" x14ac:dyDescent="0.3">
      <c r="A26" s="7" t="s">
        <v>37</v>
      </c>
      <c r="B26" s="11">
        <f>VLOOKUP($A26, Dataset!$1:$1048576, MATCH(Task_2!B$5, Dataset!$1:$1, 0),FALSE )</f>
        <v>49.1</v>
      </c>
      <c r="C26" s="11">
        <f>VLOOKUP($A26, Dataset!$1:$1048576, MATCH(Task_2!C$5, Dataset!$1:$1, 0),FALSE )</f>
        <v>146.80000000000001</v>
      </c>
      <c r="D26" s="11">
        <f>VLOOKUP($A26, Dataset!$1:$1048576, MATCH(Task_2!D$5, Dataset!$1:$1, 0),FALSE )</f>
        <v>90.9</v>
      </c>
      <c r="E26" s="11">
        <f>VLOOKUP($A26, Dataset!$1:$1048576, MATCH(Task_2!E$5, Dataset!$1:$1, 0),FALSE )</f>
        <v>183.5</v>
      </c>
      <c r="F26" s="11">
        <f>VLOOKUP($A26, Dataset!$1:$1048576, MATCH(Task_2!F$5, Dataset!$1:$1, 0),FALSE )</f>
        <v>90.9</v>
      </c>
    </row>
    <row r="27" spans="1:6" ht="14.4" x14ac:dyDescent="0.3">
      <c r="A27" s="7" t="s">
        <v>39</v>
      </c>
      <c r="B27" s="11">
        <f>VLOOKUP($A27, Dataset!$1:$1048576, MATCH(Task_2!B$5, Dataset!$1:$1, 0),FALSE )</f>
        <v>51.8</v>
      </c>
      <c r="C27" s="11">
        <f>VLOOKUP($A27, Dataset!$1:$1048576, MATCH(Task_2!C$5, Dataset!$1:$1, 0),FALSE )</f>
        <v>156.4</v>
      </c>
      <c r="D27" s="11">
        <f>VLOOKUP($A27, Dataset!$1:$1048576, MATCH(Task_2!D$5, Dataset!$1:$1, 0),FALSE )</f>
        <v>93.1</v>
      </c>
      <c r="E27" s="11">
        <f>VLOOKUP($A27, Dataset!$1:$1048576, MATCH(Task_2!E$5, Dataset!$1:$1, 0),FALSE )</f>
        <v>188.1</v>
      </c>
      <c r="F27" s="11">
        <f>VLOOKUP($A27, Dataset!$1:$1048576, MATCH(Task_2!F$5, Dataset!$1:$1, 0),FALSE 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 t="shared" ref="D28:E28" si="0">MIN(D6:D27)</f>
        <v>-1</v>
      </c>
      <c r="E28" s="30">
        <f t="shared" si="0"/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E29" si="1">MAX(C6:C27)</f>
        <v>156.4</v>
      </c>
      <c r="D29" s="30">
        <f t="shared" si="1"/>
        <v>93.1</v>
      </c>
      <c r="E29" s="30">
        <f t="shared" si="1"/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E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6" sqref="F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 t="s">
        <v>179</v>
      </c>
      <c r="F5" s="1" t="s">
        <v>181</v>
      </c>
    </row>
    <row r="6" spans="1:10" ht="18" x14ac:dyDescent="0.35">
      <c r="A6" s="42" t="s">
        <v>154</v>
      </c>
      <c r="B6" s="39" t="s">
        <v>180</v>
      </c>
    </row>
    <row r="7" spans="1:10" ht="18" x14ac:dyDescent="0.35">
      <c r="A7" s="42"/>
      <c r="B7" s="39"/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11" t="str">
        <f>MID(A16, 1, 5)</f>
        <v>20000</v>
      </c>
      <c r="C16" s="1" t="str">
        <f>MID(A16, 7,6)</f>
        <v>Monday</v>
      </c>
      <c r="D16" s="11" t="str">
        <f>MID(A16, 14, 1)</f>
        <v>0</v>
      </c>
      <c r="E16" s="1" t="str">
        <f>MID(A16, 16, 6)</f>
        <v>Sunday</v>
      </c>
      <c r="F16" s="11" t="str">
        <f>MID(A16, 23, 2)</f>
        <v>24</v>
      </c>
    </row>
    <row r="17" spans="1:6" x14ac:dyDescent="0.3">
      <c r="A17" s="7" t="s">
        <v>123</v>
      </c>
      <c r="B17" s="11" t="str">
        <f t="shared" ref="B17:B54" si="0">MID(A17, 1, 5)</f>
        <v>20002</v>
      </c>
      <c r="C17" s="1" t="str">
        <f t="shared" ref="C17:C54" si="1">MID(A17, 7,6)</f>
        <v>Monday</v>
      </c>
      <c r="D17" s="11" t="str">
        <f t="shared" ref="D17:D54" si="2">MID(A17, 14, 1)</f>
        <v>0</v>
      </c>
      <c r="E17" s="1" t="str">
        <f t="shared" ref="E17:E54" si="3">MID(A17, 16, 6)</f>
        <v>Sunday</v>
      </c>
      <c r="F17" s="11" t="str">
        <f t="shared" ref="F17:F54" si="4">MID(A17, 23, 2)</f>
        <v>24</v>
      </c>
    </row>
    <row r="18" spans="1:6" x14ac:dyDescent="0.3">
      <c r="A18" s="7" t="s">
        <v>124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125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126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127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128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129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130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131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132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133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134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135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136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137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138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139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140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141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142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143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144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145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146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147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148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149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150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151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113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114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115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116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117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118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119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120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8" t="s">
        <v>121</v>
      </c>
      <c r="B54" s="12" t="str">
        <f t="shared" si="0"/>
        <v>21016</v>
      </c>
      <c r="C54" s="9" t="str">
        <f t="shared" si="1"/>
        <v>Monday</v>
      </c>
      <c r="D54" s="12" t="str">
        <f t="shared" si="2"/>
        <v>0</v>
      </c>
      <c r="E54" s="9" t="str">
        <f t="shared" si="3"/>
        <v>Sunday</v>
      </c>
      <c r="F54" s="12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O19" sqref="O1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168</v>
      </c>
    </row>
    <row r="2" spans="1:4" ht="18" x14ac:dyDescent="0.35">
      <c r="B2" s="39" t="s">
        <v>167</v>
      </c>
    </row>
    <row r="5" spans="1:4" ht="14.4" x14ac:dyDescent="0.3">
      <c r="B5" s="1" t="s">
        <v>152</v>
      </c>
    </row>
    <row r="6" spans="1:4" ht="14.4" x14ac:dyDescent="0.3">
      <c r="A6" s="3" t="s">
        <v>53</v>
      </c>
      <c r="B6" s="1" t="s">
        <v>182</v>
      </c>
    </row>
    <row r="7" spans="1:4" ht="14.4" x14ac:dyDescent="0.3">
      <c r="A7" s="3" t="s">
        <v>154</v>
      </c>
      <c r="B7" s="1" t="s">
        <v>183</v>
      </c>
    </row>
    <row r="10" spans="1:4" ht="23.4" x14ac:dyDescent="0.45">
      <c r="A10" s="17" t="s">
        <v>163</v>
      </c>
    </row>
    <row r="11" spans="1:4" ht="14.4" x14ac:dyDescent="0.3">
      <c r="A11" s="31" t="s">
        <v>86</v>
      </c>
      <c r="B11" s="16" t="s">
        <v>87</v>
      </c>
      <c r="C11" s="16" t="s">
        <v>88</v>
      </c>
    </row>
    <row r="12" spans="1:4" ht="14.4" x14ac:dyDescent="0.3">
      <c r="A12" s="31">
        <v>44927</v>
      </c>
      <c r="B12" s="16" t="s">
        <v>59</v>
      </c>
      <c r="C12" s="16">
        <v>200</v>
      </c>
      <c r="D12" s="2">
        <f>IFERROR(C12, 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2">
        <f t="shared" ref="D13:D21" si="0">IFERROR(C13, 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155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156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157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158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159</v>
      </c>
      <c r="C21" s="16" t="e">
        <v>#N/A</v>
      </c>
      <c r="D21" s="2">
        <f t="shared" si="0"/>
        <v>20</v>
      </c>
    </row>
    <row r="22" spans="1:4" ht="14.4" x14ac:dyDescent="0.3">
      <c r="B22" s="16" t="s">
        <v>160</v>
      </c>
      <c r="C22" s="24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4"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176</v>
      </c>
    </row>
    <row r="3" spans="1:14" ht="14.4" x14ac:dyDescent="0.3">
      <c r="B3" s="1" t="s">
        <v>152</v>
      </c>
    </row>
    <row r="4" spans="1:14" ht="18" x14ac:dyDescent="0.35">
      <c r="A4" s="42" t="s">
        <v>53</v>
      </c>
      <c r="B4" s="1" t="s">
        <v>184</v>
      </c>
    </row>
    <row r="5" spans="1:14" ht="18" x14ac:dyDescent="0.35">
      <c r="A5" s="42" t="s">
        <v>154</v>
      </c>
      <c r="B5" s="1" t="s">
        <v>185</v>
      </c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INDEX($A$9:$J$18, MATCH(VLOOKUP($A23, $M$9:$N$18, 2, FALSE), $A$9:$A$18, 0), MATCH(VLOOKUP($B23,$M$9:$N$18,2,FALSE), $A$9:$J$9, 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INDEX($A$9:$J$18, MATCH(VLOOKUP($A24, $M$9:$N$18, 2, FALSE), $A$9:$A$18, 0), MATCH(VLOOKUP($B24,$M$9:$N$18,2,FALSE), $A$9:$J$9, 0))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8">
        <v>10112</v>
      </c>
      <c r="B35" s="12">
        <v>10116</v>
      </c>
      <c r="C35" s="46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Saurabh Kumawat</cp:lastModifiedBy>
  <dcterms:created xsi:type="dcterms:W3CDTF">2015-02-10T17:33:11Z</dcterms:created>
  <dcterms:modified xsi:type="dcterms:W3CDTF">2023-12-09T19:08:01Z</dcterms:modified>
</cp:coreProperties>
</file>